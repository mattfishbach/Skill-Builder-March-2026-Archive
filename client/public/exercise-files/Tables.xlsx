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<sst xmlns="http://schemas.openxmlformats.org/spreadsheetml/2006/main" count="38" uniqueCount="10">
  <si>
    <t>TABLE</t>
  </si>
  <si>
    <t>RANGE</t>
  </si>
  <si>
    <t>Meal Total</t>
  </si>
  <si>
    <t>Lodging Avg Cost</t>
  </si>
  <si>
    <t>Date</t>
  </si>
  <si>
    <t>Category</t>
  </si>
  <si>
    <t>Expense</t>
  </si>
  <si>
    <t>Meals</t>
  </si>
  <si>
    <t>Travel</t>
  </si>
  <si>
    <t>Lodging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</si>
</sst>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xpenseTable" displayName="ExpenseTable" ref="B4:D17" totalsRowShown="1" headerRowCount="1">
  <autoFilter ref="B4:D17">
    <filterColumn colId="0" hiddenButton="0"/>
    <filterColumn colId="1" hiddenButton="0"/>
    <filterColumn colId="2" hiddenButton="0"/>
  </autoFilter>
  <tableColumns count="3">
    <tableColumn id="1" name="Date" totalsRowLabel="Total"/>
    <tableColumn id="2" name="Category" totalsRowFunction="none"/>
    <tableColumn id="3" name="Expens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7"/>
  <sheetFormatPr defaultRowHeight="15" outlineLevelRow="0" outlineLevelCol="0" x14ac:dyDescent="55"/>
  <cols>
    <col min="2" max="4" width="12" customWidth="1"/>
    <col min="5" max="5" width="4" customWidth="1"/>
    <col min="6" max="6" width="16" customWidth="1"/>
    <col min="7" max="7" width="4" customWidth="1"/>
    <col min="8" max="10" width="12" customWidth="1"/>
    <col min="11" max="11" width="4" customWidth="1"/>
    <col min="12" max="12" width="16" customWidth="1"/>
  </cols>
  <sheetData>
    <row r="1" spans="2:8" x14ac:dyDescent="0.25">
      <c r="B1" s="1" t="s">
        <v>0</v>
      </c>
      <c r="H1" s="1" t="s">
        <v>1</v>
      </c>
    </row>
    <row r="2" spans="4:12" x14ac:dyDescent="0.25">
      <c r="D2" s="2" t="s">
        <v>2</v>
      </c>
      <c r="F2" s="2" t="s">
        <v>3</v>
      </c>
      <c r="J2" s="2" t="s">
        <v>2</v>
      </c>
      <c r="L2" s="2" t="s">
        <v>3</v>
      </c>
    </row>
    <row r="3" spans="4:12" x14ac:dyDescent="0.25">
      <c r="D3" s="3">
        <f>SUMIFS(ExpenseTable[Expense],ExpenseTable[Category],"Meals")</f>
      </c>
      <c r="F3" s="3">
        <f>AVERAGEIFS(ExpenseTable[Expense],ExpenseTable[Category],"Lodging")</f>
      </c>
      <c r="J3" s="3">
        <f>SUMIFS($J$5:$J$17,$I$5:$I$17,"Meals")</f>
      </c>
      <c r="L3" s="3">
        <f>AVERAGEIFS($J$5:$J$17,$I$5:$I$17,"Lodging")</f>
      </c>
    </row>
    <row r="4" spans="2:10" x14ac:dyDescent="0.25">
      <c r="B4" s="2" t="s">
        <v>4</v>
      </c>
      <c r="C4" s="2" t="s">
        <v>5</v>
      </c>
      <c r="D4" s="2" t="s">
        <v>6</v>
      </c>
      <c r="H4" s="2" t="s">
        <v>4</v>
      </c>
      <c r="I4" s="2" t="s">
        <v>5</v>
      </c>
      <c r="J4" s="2" t="s">
        <v>6</v>
      </c>
    </row>
    <row r="5" spans="2:10" x14ac:dyDescent="0.25">
      <c r="B5" s="4">
        <v>45031</v>
      </c>
      <c r="C5" t="s">
        <v>7</v>
      </c>
      <c r="D5" s="3">
        <v>3.2</v>
      </c>
      <c r="H5" s="4">
        <v>45031</v>
      </c>
      <c r="I5" t="s">
        <v>7</v>
      </c>
      <c r="J5" s="3">
        <v>3.2</v>
      </c>
    </row>
    <row r="6" spans="2:10" x14ac:dyDescent="0.25">
      <c r="B6" s="4">
        <v>45031</v>
      </c>
      <c r="C6" t="s">
        <v>8</v>
      </c>
      <c r="D6" s="3">
        <v>355.4</v>
      </c>
      <c r="H6" s="4">
        <v>45031</v>
      </c>
      <c r="I6" t="s">
        <v>8</v>
      </c>
      <c r="J6" s="3">
        <v>355.4</v>
      </c>
    </row>
    <row r="7" spans="2:10" x14ac:dyDescent="0.25">
      <c r="B7" s="4">
        <v>45031</v>
      </c>
      <c r="C7" t="s">
        <v>9</v>
      </c>
      <c r="D7" s="3">
        <v>150</v>
      </c>
      <c r="H7" s="4">
        <v>45031</v>
      </c>
      <c r="I7" t="s">
        <v>9</v>
      </c>
      <c r="J7" s="3">
        <v>150</v>
      </c>
    </row>
    <row r="8" spans="2:10" x14ac:dyDescent="0.25">
      <c r="B8" s="4">
        <v>45032</v>
      </c>
      <c r="C8" t="s">
        <v>7</v>
      </c>
      <c r="D8" s="3">
        <v>24.5</v>
      </c>
      <c r="H8" s="4">
        <v>45032</v>
      </c>
      <c r="I8" t="s">
        <v>7</v>
      </c>
      <c r="J8" s="3">
        <v>24.5</v>
      </c>
    </row>
    <row r="9" spans="2:10" x14ac:dyDescent="0.25">
      <c r="B9" s="4">
        <v>45032</v>
      </c>
      <c r="C9" t="s">
        <v>8</v>
      </c>
      <c r="D9" s="3">
        <v>12</v>
      </c>
      <c r="H9" s="4">
        <v>45032</v>
      </c>
      <c r="I9" t="s">
        <v>8</v>
      </c>
      <c r="J9" s="3">
        <v>12</v>
      </c>
    </row>
    <row r="10" spans="2:10" x14ac:dyDescent="0.25">
      <c r="B10" s="4">
        <v>45032</v>
      </c>
      <c r="C10" t="s">
        <v>9</v>
      </c>
      <c r="D10" s="3">
        <v>175</v>
      </c>
      <c r="H10" s="4">
        <v>45032</v>
      </c>
      <c r="I10" t="s">
        <v>9</v>
      </c>
      <c r="J10" s="3">
        <v>175</v>
      </c>
    </row>
    <row r="11" spans="2:10" x14ac:dyDescent="0.25">
      <c r="B11" s="4">
        <v>45033</v>
      </c>
      <c r="C11" t="s">
        <v>7</v>
      </c>
      <c r="D11" s="3">
        <v>18.75</v>
      </c>
      <c r="H11" s="4">
        <v>45033</v>
      </c>
      <c r="I11" t="s">
        <v>7</v>
      </c>
      <c r="J11" s="3">
        <v>18.75</v>
      </c>
    </row>
    <row r="12" spans="2:10" x14ac:dyDescent="0.25">
      <c r="B12" s="4">
        <v>45033</v>
      </c>
      <c r="C12" t="s">
        <v>8</v>
      </c>
      <c r="D12" s="3">
        <v>28</v>
      </c>
      <c r="H12" s="4">
        <v>45033</v>
      </c>
      <c r="I12" t="s">
        <v>8</v>
      </c>
      <c r="J12" s="3">
        <v>28</v>
      </c>
    </row>
    <row r="13" spans="2:10" x14ac:dyDescent="0.25">
      <c r="B13" s="4">
        <v>45033</v>
      </c>
      <c r="C13" t="s">
        <v>9</v>
      </c>
      <c r="D13" s="3">
        <v>150</v>
      </c>
      <c r="H13" s="4">
        <v>45033</v>
      </c>
      <c r="I13" t="s">
        <v>9</v>
      </c>
      <c r="J13" s="3">
        <v>150</v>
      </c>
    </row>
    <row r="14" spans="2:10" x14ac:dyDescent="0.25">
      <c r="B14" s="4">
        <v>45034</v>
      </c>
      <c r="C14" t="s">
        <v>7</v>
      </c>
      <c r="D14" s="3">
        <v>42.1</v>
      </c>
      <c r="H14" s="4">
        <v>45034</v>
      </c>
      <c r="I14" t="s">
        <v>7</v>
      </c>
      <c r="J14" s="3">
        <v>42.1</v>
      </c>
    </row>
    <row r="15" spans="2:10" x14ac:dyDescent="0.25">
      <c r="B15" s="4">
        <v>45034</v>
      </c>
      <c r="C15" t="s">
        <v>8</v>
      </c>
      <c r="D15" s="3">
        <v>400</v>
      </c>
      <c r="H15" s="4">
        <v>45034</v>
      </c>
      <c r="I15" t="s">
        <v>8</v>
      </c>
      <c r="J15" s="3">
        <v>400</v>
      </c>
    </row>
    <row r="16" spans="2:10" x14ac:dyDescent="0.25">
      <c r="B16" s="4">
        <v>45034</v>
      </c>
      <c r="C16" t="s">
        <v>9</v>
      </c>
      <c r="D16" s="3">
        <v>200</v>
      </c>
      <c r="H16" s="4">
        <v>45034</v>
      </c>
      <c r="I16" t="s">
        <v>9</v>
      </c>
      <c r="J16" s="3">
        <v>200</v>
      </c>
    </row>
    <row r="17" spans="2:10" x14ac:dyDescent="0.25">
      <c r="B17" s="4">
        <v>45035</v>
      </c>
      <c r="C17" t="s">
        <v>7</v>
      </c>
      <c r="D17" s="3">
        <v>15.6</v>
      </c>
      <c r="H17" s="4">
        <v>45035</v>
      </c>
      <c r="I17" t="s">
        <v>7</v>
      </c>
      <c r="J17" s="3">
        <v>15.6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2026-02-18T23:07:28Z</dcterms:created>
  <dcterms:modified xsi:type="dcterms:W3CDTF">2026-02-18T23:07:28Z</dcterms:modified>
</cp:coreProperties>
</file>